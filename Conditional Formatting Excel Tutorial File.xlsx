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I:\EXCEL\"/>
    </mc:Choice>
  </mc:AlternateContent>
  <xr:revisionPtr revIDLastSave="0" documentId="13_ncr:1_{8B711A54-9062-41E8-9F17-7FC4A392E616}" xr6:coauthVersionLast="47" xr6:coauthVersionMax="47" xr10:uidLastSave="{00000000-0000-0000-0000-000000000000}"/>
  <bookViews>
    <workbookView xWindow="16389" yWindow="-26" windowWidth="16594" windowHeight="8795" xr2:uid="{5EA44D8F-79D3-45F5-A0F6-C7F47358B7ED}"/>
  </bookViews>
  <sheets>
    <sheet name="Demographics" sheetId="1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2" i="1"/>
  <c r="Y3" i="1"/>
  <c r="Y4" i="1"/>
  <c r="Y5" i="1"/>
  <c r="Y6" i="1"/>
  <c r="Y7" i="1"/>
  <c r="Y8" i="1"/>
  <c r="Y9" i="1"/>
  <c r="Y10" i="1"/>
  <c r="Y2" i="1"/>
  <c r="X2" i="1"/>
  <c r="W2" i="1" a="1"/>
  <c r="W2" i="1" s="1"/>
  <c r="V2" i="1" a="1"/>
  <c r="V2" i="1" s="1"/>
  <c r="U2" i="1" a="1"/>
  <c r="U2" i="1" s="1"/>
  <c r="L2" i="1" a="1"/>
  <c r="L2" i="1" s="1"/>
  <c r="T2" i="1" a="1"/>
  <c r="T2" i="1" s="1"/>
  <c r="S2" i="1" a="1"/>
  <c r="S2" i="1" s="1"/>
  <c r="R2" i="1" a="1"/>
  <c r="R2" i="1" s="1"/>
  <c r="Q2" i="1" a="1"/>
  <c r="Q2" i="1" s="1"/>
  <c r="P2" i="1" a="1"/>
  <c r="P2" i="1" s="1"/>
  <c r="O2" i="1" a="1"/>
  <c r="O2" i="1" s="1"/>
  <c r="N2" i="1" a="1"/>
  <c r="N2" i="1" s="1"/>
  <c r="N5" i="1"/>
  <c r="M5" i="1"/>
  <c r="M2" i="1" a="1"/>
  <c r="M2" i="1" s="1"/>
  <c r="D22" i="1"/>
  <c r="D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<sst xmlns="http://schemas.openxmlformats.org/spreadsheetml/2006/main" count="115" uniqueCount="102">
  <si>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</si>
  <si>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</si>
  <si>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</si>
  <si>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</si>
  <si>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</si>
  <si>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</si>
  <si>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</si>
  <si>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</si>
  <si>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</si>
  <si>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</si>
  <si>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</si>
  <si>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</si>
  <si>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</si>
  <si>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</si>
  <si>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</si>
  <si>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</si>
  <si>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</si>
  <si>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</si>
  <si>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</si>
  <si>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</si>
  <si>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</si>
  <si>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</si>
  <si>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</si>
  <si>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</si>
  <si>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</si>
  <si>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</si>
  <si>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</si>
  <si>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</si>
  <si>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</si>
  <si>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</si>
  <si>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</si>
  <si>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</si>
  <si>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</si>
  <si>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</si>
  <si>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</si>
  <si>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</si>
  <si>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</si>
  <si>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</si>
  <si>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</si>
  <si>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</si>
  <si>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</si>
  <si>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</si>
  <si>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</si>
  <si>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</si>
  <si>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</si>
  <si>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</si>
  <si>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</si>
  <si>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</si>
  <si>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</si>
  <si>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</si>
  <si>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</si>
  <si>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</si>
  <si>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</si>
  <si>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</si>
  <si>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</si>
  <si>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</si>
  <si>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</si>
  <si>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</si>
  <si>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</si>
  <si>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</si>
  <si>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</si>
  <si>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</si>
  <si>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</si>
  <si>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</si>
  <si>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</si>
  <si>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</si>
  <si>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</si>
  <si>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</si>
  <si>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</si>
  <si>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</si>
  <si>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</si>
  <si>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</si>
  <si>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</si>
  <si>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</si>
  <si>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</si>
  <si>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</si>
  <si>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</si>
  <si>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</si>
  <si>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</si>
  <si>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</si>
  <si>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</si>
  <si>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</si>
  <si>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</si>
  <si>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</si>
  <si>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</si>
  <si>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Max</t>
  </si>
  <si>
    <t>Min</t>
  </si>
  <si>
    <t>Max Salary</t>
  </si>
  <si>
    <t>Min Salary</t>
  </si>
  <si>
    <t>IF</t>
  </si>
  <si>
    <t>IFS</t>
  </si>
  <si>
    <t>Length</t>
  </si>
  <si>
    <t xml:space="preserve">Left Char </t>
  </si>
  <si>
    <t>Right Char</t>
  </si>
  <si>
    <t>right</t>
  </si>
  <si>
    <t>date</t>
  </si>
  <si>
    <t>Trim spaces</t>
  </si>
  <si>
    <t>Concatenate</t>
  </si>
  <si>
    <t>Substitute Instances</t>
  </si>
  <si>
    <t>CountIFS</t>
  </si>
  <si>
    <t>Days</t>
  </si>
  <si>
    <t>NetworkDays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</si>
</sst>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Z23"/>
  <sheetViews>
    <sheetView tabSelected="1" topLeftCell="T1" zoomScale="130" zoomScaleNormal="130" workbookViewId="0">
      <selection activeCell="AA1" sqref="AA1"/>
    </sheetView>
  </sheetViews>
  <sheetFormatPr defaultColWidth="12.7109375" defaultRowHeight="15" x14ac:dyDescent="0.25"/>
  <cols>
    <col min="1" max="1" width="11.7109375" style="1" bestFit="1" customWidth="1"/>
    <col min="2" max="2" width="10.140625" style="1" bestFit="1" customWidth="1"/>
    <col min="3" max="3" width="11" style="1" bestFit="1" customWidth="1"/>
    <col min="4" max="4" width="16.140625" style="1" bestFit="1" customWidth="1"/>
    <col min="5" max="5" width="4.42578125" style="1" bestFit="1" customWidth="1"/>
    <col min="6" max="6" width="7.5703125" style="1" bestFit="1" customWidth="1"/>
    <col min="7" max="7" width="17.42578125" style="1" bestFit="1" customWidth="1"/>
    <col min="8" max="8" width="6.28515625" style="1" bestFit="1" customWidth="1"/>
    <col min="9" max="9" width="10" style="1" bestFit="1" customWidth="1"/>
    <col min="10" max="10" width="11.140625" style="1" bestFit="1" customWidth="1"/>
    <col min="11" max="11" width="44.5703125" style="1" bestFit="1" customWidth="1"/>
    <col min="12" max="12" width="12.7109375" style="1"/>
    <col min="13" max="13" width="10.42578125" style="1" bestFit="1" customWidth="1"/>
    <col min="14" max="14" width="10.140625" style="1" bestFit="1" customWidth="1"/>
    <col min="15" max="15" width="9.5703125" style="1" bestFit="1" customWidth="1"/>
    <col min="16" max="16" width="14" style="1" bestFit="1" customWidth="1"/>
    <col min="17" max="20" width="12.7109375" style="1"/>
    <col min="21" max="21" width="11.28515625" style="1" bestFit="1" customWidth="1"/>
    <col min="22" max="22" width="16.140625" style="1" bestFit="1" customWidth="1"/>
    <col min="23" max="23" width="19.140625" style="1" bestFit="1" customWidth="1"/>
    <col min="24" max="16384" width="12.7109375" style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60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95</v>
      </c>
      <c r="M1" s="1" t="s">
        <v>85</v>
      </c>
      <c r="N1" s="1" t="s">
        <v>86</v>
      </c>
      <c r="O1" s="1" t="s">
        <v>89</v>
      </c>
      <c r="P1" s="1" t="s">
        <v>90</v>
      </c>
      <c r="Q1" s="1" t="s">
        <v>91</v>
      </c>
      <c r="R1" s="1" t="s">
        <v>92</v>
      </c>
      <c r="S1" s="1" t="s">
        <v>93</v>
      </c>
      <c r="T1" s="1" t="s">
        <v>94</v>
      </c>
      <c r="U1" s="1" t="s">
        <v>96</v>
      </c>
      <c r="V1" s="1" t="s">
        <v>97</v>
      </c>
      <c r="W1" s="1" t="s">
        <v>98</v>
      </c>
      <c r="X1" s="1" t="s">
        <v>99</v>
      </c>
      <c r="Y1" s="1" t="s">
        <v>100</v>
      </c>
      <c r="Z1" s="1" t="s">
        <v>101</v>
      </c>
    </row>
    <row r="2" spans="1:26" x14ac:dyDescent="0.25">
      <c r="A2" s="1">
        <v>1001</v>
      </c>
      <c r="B2" s="1" t="s">
        <v>10</v>
      </c>
      <c r="C2" s="1" t="s">
        <v>11</v>
      </c>
      <c r="D2" s="1" t="s">
        <v>61</v>
      </c>
      <c r="E2" s="1">
        <v>30</v>
      </c>
      <c r="F2" s="1" t="s">
        <v>12</v>
      </c>
      <c r="G2" s="1" t="s">
        <v>13</v>
      </c>
      <c r="H2" s="1">
        <v>45000</v>
      </c>
      <c r="I2" s="2" t="s">
        <v>14</v>
      </c>
      <c r="J2" s="2" t="s">
        <v>15</v>
      </c>
      <c r="K2" s="2" t="s">
        <v>16</v>
      </c>
      <c r="L2" s="2" cm="1">
        <f t="array" ref="L2">MAX(INDEX(J2:J10*1,0))</f>
        <v>42986</v>
      </c>
      <c r="M2" s="2" cm="1">
        <f t="array" ref="M2">MAX(INDEX(I2:I10*1,0))</f>
        <v>37933</v>
      </c>
      <c r="N2" s="2" cm="1">
        <f t="array" ref="N2">MIN(INDEX(I2:I10*1,0))</f>
        <v>36436</v>
      </c>
      <c r="O2" s="1" t="str" cm="1">
        <f t="array" ref="O2:O10">IF(H2:H10&gt;=50000,"Over Paid","Ok")</f>
        <v>Ok</v>
      </c>
      <c r="P2" s="1" t="str" cm="1">
        <f t="array" ref="P2:P10">_xlfn.IFS(H2:H10&gt;50000,"Expensive Hah",H2:H10&gt;40000,"high salary",TRUE,"ok")</f>
        <v>high salary</v>
      </c>
      <c r="Q2" s="1" cm="1">
        <f t="array" ref="Q2:Q10">LEN(D2:D10)</f>
        <v>11</v>
      </c>
      <c r="R2" s="1" t="str" cm="1">
        <f t="array" ref="R2:R10">LEFT(B2:B10,3)</f>
        <v>Jim</v>
      </c>
      <c r="S2" s="1" t="str" cm="1">
        <f t="array" ref="S2:S10">RIGHT(A2:A10,1)</f>
        <v>1</v>
      </c>
      <c r="T2" s="1" t="str" cm="1">
        <f t="array" ref="T2:T10">RIGHT(I2:I10,4)</f>
        <v>2001</v>
      </c>
      <c r="U2" s="1" t="str" cm="1">
        <f t="array" ref="U2:U10">TRIM(C2:C10)</f>
        <v>Halpert</v>
      </c>
      <c r="V2" s="1" t="str" cm="1">
        <f t="array" ref="V2:V10">CONCATENATE(B2:B10," ",C2:C10)</f>
        <v>Jim Halpert</v>
      </c>
      <c r="W2" s="1" t="str" cm="1">
        <f t="array" ref="W2:W10">SUBSTITUTE(J2:J10,"/","-")</f>
        <v>9-6-2015</v>
      </c>
      <c r="X2" s="1">
        <f>COUNTIFS(H2:H10,"&gt;45000",F2:F10,"Female")</f>
        <v>1</v>
      </c>
      <c r="Y2" s="1">
        <f xml:space="preserve"> _xlfn.DAYS(J2,I2)</f>
        <v>5056</v>
      </c>
      <c r="Z2" s="1">
        <f>NETWORKDAYS(I2,J2)</f>
        <v>3611</v>
      </c>
    </row>
    <row r="3" spans="1:26" x14ac:dyDescent="0.25">
      <c r="A3" s="1">
        <v>1002</v>
      </c>
      <c r="B3" s="1" t="s">
        <v>17</v>
      </c>
      <c r="C3" s="1" t="s">
        <v>18</v>
      </c>
      <c r="D3" s="1" t="s">
        <v>62</v>
      </c>
      <c r="E3" s="1">
        <v>30</v>
      </c>
      <c r="F3" s="1" t="s">
        <v>19</v>
      </c>
      <c r="G3" s="1" t="s">
        <v>20</v>
      </c>
      <c r="H3" s="1">
        <v>36000</v>
      </c>
      <c r="I3" s="2" t="s">
        <v>21</v>
      </c>
      <c r="J3" s="2" t="s">
        <v>22</v>
      </c>
      <c r="K3" s="2" t="s">
        <v>23</v>
      </c>
      <c r="O3" s="1" t="str">
        <v>Ok</v>
      </c>
      <c r="P3" s="1" t="str">
        <v>ok</v>
      </c>
      <c r="Q3" s="1">
        <v>11</v>
      </c>
      <c r="R3" s="1" t="str">
        <v>Pam</v>
      </c>
      <c r="S3" s="1" t="str">
        <v>2</v>
      </c>
      <c r="T3" s="1" t="str">
        <v>1999</v>
      </c>
      <c r="U3" s="1" t="str">
        <v>Beasley</v>
      </c>
      <c r="V3" s="1" t="str">
        <v>Pam Beasley</v>
      </c>
      <c r="W3" s="1" t="str">
        <v>10-10-2015</v>
      </c>
      <c r="Y3" s="1">
        <f t="shared" ref="Y3:Y10" si="0" xml:space="preserve"> _xlfn.DAYS(J3,I3)</f>
        <v>5851</v>
      </c>
      <c r="Z3" s="1">
        <f t="shared" ref="Z3:Z10" si="1">NETWORKDAYS(I3,J3)</f>
        <v>4180</v>
      </c>
    </row>
    <row r="4" spans="1:26" x14ac:dyDescent="0.25">
      <c r="A4" s="1">
        <v>1003</v>
      </c>
      <c r="B4" s="1" t="s">
        <v>24</v>
      </c>
      <c r="C4" s="1" t="s">
        <v>25</v>
      </c>
      <c r="D4" s="1" t="s">
        <v>63</v>
      </c>
      <c r="E4" s="1">
        <v>29</v>
      </c>
      <c r="F4" s="1" t="s">
        <v>12</v>
      </c>
      <c r="G4" s="1" t="s">
        <v>13</v>
      </c>
      <c r="H4" s="1">
        <v>63000</v>
      </c>
      <c r="I4" s="2" t="s">
        <v>26</v>
      </c>
      <c r="J4" s="2" t="s">
        <v>27</v>
      </c>
      <c r="K4" s="2" t="s">
        <v>28</v>
      </c>
      <c r="M4" s="1" t="s">
        <v>87</v>
      </c>
      <c r="N4" s="1" t="s">
        <v>88</v>
      </c>
      <c r="O4" s="1" t="str">
        <v>Over Paid</v>
      </c>
      <c r="P4" s="1" t="str">
        <v>Expensive Hah</v>
      </c>
      <c r="Q4" s="1">
        <v>14</v>
      </c>
      <c r="R4" s="1" t="str">
        <v>Dwi</v>
      </c>
      <c r="S4" s="1" t="str">
        <v>3</v>
      </c>
      <c r="T4" s="1" t="str">
        <v>2000</v>
      </c>
      <c r="U4" s="1" t="str">
        <v>Schrute</v>
      </c>
      <c r="V4" s="1" t="str">
        <v>Dwight Schrute</v>
      </c>
      <c r="W4" s="1" t="str">
        <v>9-8-2017</v>
      </c>
      <c r="Y4" s="1">
        <f t="shared" si="0"/>
        <v>6275</v>
      </c>
      <c r="Z4" s="1">
        <f t="shared" si="1"/>
        <v>4484</v>
      </c>
    </row>
    <row r="5" spans="1:26" x14ac:dyDescent="0.25">
      <c r="A5" s="1">
        <v>1004</v>
      </c>
      <c r="B5" s="1" t="s">
        <v>29</v>
      </c>
      <c r="C5" s="1" t="s">
        <v>30</v>
      </c>
      <c r="D5" s="1" t="s">
        <v>64</v>
      </c>
      <c r="E5" s="1">
        <v>31</v>
      </c>
      <c r="F5" s="1" t="s">
        <v>19</v>
      </c>
      <c r="G5" s="1" t="s">
        <v>31</v>
      </c>
      <c r="H5" s="1">
        <v>47000</v>
      </c>
      <c r="I5" s="2" t="s">
        <v>32</v>
      </c>
      <c r="J5" s="2" t="s">
        <v>33</v>
      </c>
      <c r="K5" s="2" t="s">
        <v>34</v>
      </c>
      <c r="M5" s="1">
        <f>MAX(H2:H10)</f>
        <v>65000</v>
      </c>
      <c r="N5" s="1">
        <f>MIN(H2:H10)</f>
        <v>36000</v>
      </c>
      <c r="O5" s="1" t="str">
        <v>Ok</v>
      </c>
      <c r="P5" s="1" t="str">
        <v>high salary</v>
      </c>
      <c r="Q5" s="1">
        <v>13</v>
      </c>
      <c r="R5" s="1" t="str">
        <v>Ang</v>
      </c>
      <c r="S5" s="1" t="str">
        <v>4</v>
      </c>
      <c r="T5" s="1" t="str">
        <v>2000</v>
      </c>
      <c r="U5" s="1" t="str">
        <v>Martin</v>
      </c>
      <c r="V5" s="1" t="str">
        <v>Angela Martin</v>
      </c>
      <c r="W5" s="1" t="str">
        <v>12-3-2015</v>
      </c>
      <c r="Y5" s="1">
        <f t="shared" si="0"/>
        <v>5811</v>
      </c>
      <c r="Z5" s="1">
        <f t="shared" si="1"/>
        <v>4152</v>
      </c>
    </row>
    <row r="6" spans="1:26" x14ac:dyDescent="0.25">
      <c r="A6" s="1">
        <v>1005</v>
      </c>
      <c r="B6" s="1" t="s">
        <v>35</v>
      </c>
      <c r="C6" s="1" t="s">
        <v>36</v>
      </c>
      <c r="D6" s="1" t="s">
        <v>65</v>
      </c>
      <c r="E6" s="1">
        <v>32</v>
      </c>
      <c r="F6" s="1" t="s">
        <v>12</v>
      </c>
      <c r="G6" s="1" t="s">
        <v>37</v>
      </c>
      <c r="H6" s="1">
        <v>50000</v>
      </c>
      <c r="I6" s="2" t="s">
        <v>38</v>
      </c>
      <c r="J6" s="2" t="s">
        <v>39</v>
      </c>
      <c r="K6" s="2" t="s">
        <v>40</v>
      </c>
      <c r="O6" s="1" t="str">
        <v>Over Paid</v>
      </c>
      <c r="P6" s="1" t="str">
        <v>high salary</v>
      </c>
      <c r="Q6" s="1">
        <v>15</v>
      </c>
      <c r="R6" s="1" t="str">
        <v>Tob</v>
      </c>
      <c r="S6" s="1" t="str">
        <v>5</v>
      </c>
      <c r="T6" s="1" t="str">
        <v>2001</v>
      </c>
      <c r="U6" s="1" t="str">
        <v>Flenderson</v>
      </c>
      <c r="V6" s="1" t="str">
        <v>Toby Flenderson</v>
      </c>
      <c r="W6" s="1" t="str">
        <v>8-30-2017</v>
      </c>
      <c r="Y6" s="1">
        <f t="shared" si="0"/>
        <v>5960</v>
      </c>
      <c r="Z6" s="1">
        <f t="shared" si="1"/>
        <v>4258</v>
      </c>
    </row>
    <row r="7" spans="1:26" x14ac:dyDescent="0.25">
      <c r="A7" s="1">
        <v>1006</v>
      </c>
      <c r="B7" s="1" t="s">
        <v>41</v>
      </c>
      <c r="C7" s="1" t="s">
        <v>42</v>
      </c>
      <c r="D7" s="1" t="s">
        <v>66</v>
      </c>
      <c r="E7" s="1">
        <v>35</v>
      </c>
      <c r="F7" s="1" t="s">
        <v>12</v>
      </c>
      <c r="G7" s="1" t="s">
        <v>43</v>
      </c>
      <c r="H7" s="1">
        <v>65000</v>
      </c>
      <c r="I7" s="2" t="s">
        <v>38</v>
      </c>
      <c r="J7" s="2" t="s">
        <v>44</v>
      </c>
      <c r="K7" s="2" t="s">
        <v>45</v>
      </c>
      <c r="O7" s="1" t="str">
        <v>Over Paid</v>
      </c>
      <c r="P7" s="1" t="str">
        <v>Expensive Hah</v>
      </c>
      <c r="Q7" s="1">
        <v>13</v>
      </c>
      <c r="R7" s="1" t="str">
        <v>Mic</v>
      </c>
      <c r="S7" s="1" t="str">
        <v>6</v>
      </c>
      <c r="T7" s="1" t="str">
        <v>2001</v>
      </c>
      <c r="U7" s="1" t="str">
        <v>Scott</v>
      </c>
      <c r="V7" s="1" t="str">
        <v>Michael Scott</v>
      </c>
      <c r="W7" s="1" t="str">
        <v>9-11-2013</v>
      </c>
      <c r="Y7" s="1">
        <f t="shared" si="0"/>
        <v>4511</v>
      </c>
      <c r="Z7" s="1">
        <f t="shared" si="1"/>
        <v>3223</v>
      </c>
    </row>
    <row r="8" spans="1:26" x14ac:dyDescent="0.25">
      <c r="A8" s="1">
        <v>1007</v>
      </c>
      <c r="B8" s="1" t="s">
        <v>46</v>
      </c>
      <c r="C8" s="1" t="s">
        <v>47</v>
      </c>
      <c r="D8" s="1" t="s">
        <v>67</v>
      </c>
      <c r="E8" s="1">
        <v>32</v>
      </c>
      <c r="F8" s="1" t="s">
        <v>19</v>
      </c>
      <c r="G8" s="1" t="s">
        <v>48</v>
      </c>
      <c r="H8" s="1">
        <v>41000</v>
      </c>
      <c r="I8" s="2" t="s">
        <v>49</v>
      </c>
      <c r="J8" s="2" t="s">
        <v>44</v>
      </c>
      <c r="K8" s="2" t="s">
        <v>50</v>
      </c>
      <c r="O8" s="1" t="str">
        <v>Ok</v>
      </c>
      <c r="P8" s="1" t="str">
        <v>high salary</v>
      </c>
      <c r="Q8" s="1">
        <v>15</v>
      </c>
      <c r="R8" s="1" t="str">
        <v>Mer</v>
      </c>
      <c r="S8" s="1" t="str">
        <v>7</v>
      </c>
      <c r="T8" s="1" t="str">
        <v>2003</v>
      </c>
      <c r="U8" s="1" t="str">
        <v>Palmer</v>
      </c>
      <c r="V8" s="1" t="str">
        <v>Meredith Palmer</v>
      </c>
      <c r="W8" s="1" t="str">
        <v>9-11-2013</v>
      </c>
      <c r="Y8" s="1">
        <f t="shared" si="0"/>
        <v>3595</v>
      </c>
      <c r="Z8" s="1">
        <f t="shared" si="1"/>
        <v>2568</v>
      </c>
    </row>
    <row r="9" spans="1:26" x14ac:dyDescent="0.25">
      <c r="A9" s="1">
        <v>1008</v>
      </c>
      <c r="B9" s="1" t="s">
        <v>51</v>
      </c>
      <c r="C9" s="1" t="s">
        <v>52</v>
      </c>
      <c r="D9" s="1" t="s">
        <v>68</v>
      </c>
      <c r="E9" s="1">
        <v>38</v>
      </c>
      <c r="F9" s="1" t="s">
        <v>12</v>
      </c>
      <c r="G9" s="1" t="s">
        <v>13</v>
      </c>
      <c r="H9" s="1">
        <v>48000</v>
      </c>
      <c r="I9" s="2" t="s">
        <v>53</v>
      </c>
      <c r="J9" s="2" t="s">
        <v>54</v>
      </c>
      <c r="K9" s="2" t="s">
        <v>55</v>
      </c>
      <c r="O9" s="1" t="str">
        <v>Ok</v>
      </c>
      <c r="P9" s="1" t="str">
        <v>high salary</v>
      </c>
      <c r="Q9" s="1">
        <v>14</v>
      </c>
      <c r="R9" s="1" t="str">
        <v>Sta</v>
      </c>
      <c r="S9" s="1" t="str">
        <v>8</v>
      </c>
      <c r="T9" s="1" t="str">
        <v>2002</v>
      </c>
      <c r="U9" s="1" t="str">
        <v>Hudson</v>
      </c>
      <c r="V9" s="1" t="str">
        <v>Stanley Hudson</v>
      </c>
      <c r="W9" s="1" t="str">
        <v>4-22-2015</v>
      </c>
      <c r="Y9" s="1">
        <f t="shared" si="0"/>
        <v>4700</v>
      </c>
      <c r="Z9" s="1">
        <f t="shared" si="1"/>
        <v>3358</v>
      </c>
    </row>
    <row r="10" spans="1:26" x14ac:dyDescent="0.25">
      <c r="A10" s="1">
        <v>1009</v>
      </c>
      <c r="B10" s="1" t="s">
        <v>56</v>
      </c>
      <c r="C10" s="1" t="s">
        <v>57</v>
      </c>
      <c r="D10" s="1" t="s">
        <v>69</v>
      </c>
      <c r="E10" s="1">
        <v>31</v>
      </c>
      <c r="F10" s="1" t="s">
        <v>12</v>
      </c>
      <c r="G10" s="1" t="s">
        <v>31</v>
      </c>
      <c r="H10" s="1">
        <v>42000</v>
      </c>
      <c r="I10" s="2" t="s">
        <v>58</v>
      </c>
      <c r="J10" s="2" t="s">
        <v>54</v>
      </c>
      <c r="K10" s="2" t="s">
        <v>59</v>
      </c>
      <c r="O10" s="1" t="str">
        <v>Ok</v>
      </c>
      <c r="P10" s="1" t="str">
        <v>high salary</v>
      </c>
      <c r="Q10" s="1">
        <v>12</v>
      </c>
      <c r="R10" s="1" t="str">
        <v>Kev</v>
      </c>
      <c r="S10" s="1" t="str">
        <v>9</v>
      </c>
      <c r="T10" s="1" t="str">
        <v>2003</v>
      </c>
      <c r="U10" s="1" t="str">
        <v>Malone</v>
      </c>
      <c r="V10" s="1" t="str">
        <v>Kevin Malone</v>
      </c>
      <c r="W10" s="1" t="str">
        <v>4-22-2015</v>
      </c>
      <c r="Y10" s="1">
        <f t="shared" si="0"/>
        <v>4273</v>
      </c>
      <c r="Z10" s="1">
        <f t="shared" si="1"/>
        <v>3053</v>
      </c>
    </row>
    <row r="22" spans="4:4" x14ac:dyDescent="0.25">
      <c r="D22" s="1" t="str">
        <f t="shared" ref="D22:D23" si="2">CONCATENATE(B12," ",C12)</f>
        <v xml:space="preserve"> </v>
      </c>
    </row>
    <row r="23" spans="4:4" x14ac:dyDescent="0.25">
      <c r="D23" s="1" t="str">
        <f t="shared" si="2"/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M4"/>
  <sheetViews>
    <sheetView workbookViewId="0">
      <selection activeCell="D15" sqref="D15"/>
    </sheetView>
  </sheetViews>
  <sheetFormatPr defaultColWidth="10.140625" defaultRowHeight="15" x14ac:dyDescent="0.25"/>
  <cols>
    <col min="1" max="1" width="12.140625" bestFit="1" customWidth="1"/>
  </cols>
  <sheetData>
    <row r="1" spans="1:13" x14ac:dyDescent="0.25"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</row>
    <row r="2" spans="1:13" x14ac:dyDescent="0.25">
      <c r="A2" t="s">
        <v>70</v>
      </c>
      <c r="B2">
        <v>450</v>
      </c>
      <c r="C2">
        <v>310</v>
      </c>
      <c r="D2">
        <v>150</v>
      </c>
      <c r="E2">
        <v>750</v>
      </c>
      <c r="F2">
        <v>440</v>
      </c>
      <c r="G2">
        <v>485</v>
      </c>
      <c r="H2">
        <v>510</v>
      </c>
      <c r="I2">
        <v>347</v>
      </c>
      <c r="J2">
        <v>736</v>
      </c>
      <c r="K2">
        <v>155</v>
      </c>
      <c r="L2">
        <v>450</v>
      </c>
      <c r="M2">
        <v>288</v>
      </c>
    </row>
    <row r="3" spans="1:13" x14ac:dyDescent="0.25">
      <c r="A3" t="s">
        <v>71</v>
      </c>
      <c r="B3">
        <v>75</v>
      </c>
      <c r="C3">
        <v>40</v>
      </c>
      <c r="D3">
        <v>65</v>
      </c>
      <c r="E3">
        <v>50</v>
      </c>
      <c r="F3">
        <v>24</v>
      </c>
      <c r="G3">
        <v>71</v>
      </c>
      <c r="H3">
        <v>57</v>
      </c>
      <c r="I3">
        <v>61</v>
      </c>
      <c r="J3">
        <v>34</v>
      </c>
      <c r="K3">
        <v>41</v>
      </c>
      <c r="L3">
        <v>58</v>
      </c>
      <c r="M3">
        <v>91</v>
      </c>
    </row>
    <row r="4" spans="1:13" x14ac:dyDescent="0.25">
      <c r="A4" t="s">
        <v>84</v>
      </c>
      <c r="B4">
        <v>200</v>
      </c>
      <c r="C4">
        <v>118</v>
      </c>
      <c r="D4">
        <v>145</v>
      </c>
      <c r="E4">
        <v>210</v>
      </c>
      <c r="F4">
        <v>45</v>
      </c>
      <c r="G4">
        <v>170</v>
      </c>
      <c r="H4">
        <v>130</v>
      </c>
      <c r="I4">
        <v>90</v>
      </c>
      <c r="J4">
        <v>55</v>
      </c>
      <c r="K4">
        <v>110</v>
      </c>
      <c r="L4">
        <v>130</v>
      </c>
      <c r="M4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Demographics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Md. Jahadi Hasan Joy</cp:lastModifiedBy>
  <dcterms:created xsi:type="dcterms:W3CDTF">2021-12-20T02:45:32Z</dcterms:created>
  <dcterms:modified xsi:type="dcterms:W3CDTF">2026-05-15T05:28:03Z</dcterms:modified>
</cp:coreProperties>
</file>