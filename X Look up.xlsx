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CEL\"/>
    </mc:Choice>
  </mc:AlternateContent>
  <xr:revisionPtr revIDLastSave="0" documentId="13_ncr:1_{774E37C0-5095-42E5-B7EF-37DD2E130D9B}" xr6:coauthVersionLast="47" xr6:coauthVersionMax="47" xr10:uidLastSave="{00000000-0000-0000-0000-000000000000}"/>
  <bookViews>
    <workbookView xWindow="19090" yWindow="-60" windowWidth="19420" windowHeight="10420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" i="1" l="1"/>
  <c r="S2" i="1"/>
  <c r="S3" i="1"/>
  <c r="S4" i="1"/>
  <c r="O7" i="1"/>
  <c r="O8" i="1"/>
  <c r="O6" i="1"/>
  <c r="O5" i="1"/>
  <c r="O3" i="1" a="1"/>
  <c r="O3" i="1" s="1"/>
  <c r="O2" i="1"/>
  <c r="D22" i="1"/>
  <c r="D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<sst xmlns="http://schemas.openxmlformats.org/spreadsheetml/2006/main" count="109" uniqueCount="92">
  <si>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</si>
  <si>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</si>
  <si>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</si>
  <si>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</si>
  <si>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</si>
  <si>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</si>
  <si>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</si>
  <si>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</si>
  <si>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</si>
  <si>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</si>
  <si>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</si>
  <si>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</si>
  <si>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</si>
  <si>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</si>
  <si>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</si>
  <si>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</si>
  <si>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</si>
  <si>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</si>
  <si>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</si>
  <si>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</si>
  <si>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</si>
  <si>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</si>
  <si>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</si>
  <si>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</si>
  <si>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</si>
  <si>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</si>
  <si>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</si>
  <si>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</si>
  <si>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</si>
  <si>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</si>
  <si>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</si>
  <si>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</si>
  <si>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</si>
  <si>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</si>
  <si>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</si>
  <si>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</si>
  <si>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</si>
  <si>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</si>
  <si>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</si>
  <si>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</si>
  <si>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</si>
  <si>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</si>
  <si>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</si>
  <si>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</si>
  <si>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</si>
  <si>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</si>
  <si>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</si>
  <si>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</si>
  <si>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</si>
  <si>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</si>
  <si>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</si>
  <si>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</si>
  <si>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</si>
  <si>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</si>
  <si>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</si>
  <si>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</si>
  <si>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</si>
  <si>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</si>
  <si>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</si>
  <si>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</si>
  <si>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</si>
  <si>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</si>
  <si>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</si>
  <si>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</si>
  <si>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</si>
  <si>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</si>
  <si>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</si>
  <si>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</si>
  <si>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</si>
  <si>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</si>
  <si>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</si>
  <si>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</si>
  <si>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</si>
  <si>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</si>
  <si>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</si>
  <si>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</si>
  <si>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</si>
  <si>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</si>
  <si>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</si>
  <si>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</si>
  <si>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</si>
  <si>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</si>
  <si>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</si>
  <si>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</si>
  <si>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</si>
  <si>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Search Name for xlookup</t>
  </si>
  <si>
    <t>XLookUp</t>
  </si>
  <si>
    <t>Find end date and email</t>
  </si>
  <si>
    <t>Toby Flender</t>
  </si>
  <si>
    <t>Full name</t>
  </si>
  <si>
    <t>V look up</t>
  </si>
  <si>
    <t xml:space="preserve"> v look up a auto position change hoi na ata manual e update kora lage but x lookup e auto change hoye jai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</si>
</sst>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T23"/>
  <sheetViews>
    <sheetView tabSelected="1" topLeftCell="D1" zoomScale="130" zoomScaleNormal="130" workbookViewId="0">
      <selection activeCell="T9" sqref="T9"/>
    </sheetView>
  </sheetViews>
  <sheetFormatPr defaultColWidth="16.42578125" defaultRowHeight="15" x14ac:dyDescent="0.25"/>
  <cols>
    <col min="1" max="1" width="11.7109375" style="1" bestFit="1" customWidth="1"/>
    <col min="2" max="2" width="10.140625" style="1" bestFit="1" customWidth="1"/>
    <col min="3" max="3" width="11" style="1" bestFit="1" customWidth="1"/>
    <col min="4" max="4" width="16.140625" style="1" bestFit="1" customWidth="1"/>
    <col min="5" max="5" width="4.42578125" style="1" bestFit="1" customWidth="1"/>
    <col min="6" max="6" width="7.5703125" style="1" bestFit="1" customWidth="1"/>
    <col min="7" max="7" width="7.5703125" style="1" customWidth="1"/>
    <col min="8" max="8" width="17.42578125" style="1" bestFit="1" customWidth="1"/>
    <col min="9" max="9" width="6.28515625" style="1" bestFit="1" customWidth="1"/>
    <col min="10" max="10" width="10.140625" style="1" bestFit="1" customWidth="1"/>
    <col min="11" max="11" width="11.28515625" style="1" bestFit="1" customWidth="1"/>
    <col min="12" max="12" width="44.5703125" style="1" bestFit="1" customWidth="1"/>
    <col min="13" max="13" width="9.85546875" style="1" customWidth="1"/>
    <col min="14" max="14" width="23.5703125" style="1" bestFit="1" customWidth="1"/>
    <col min="15" max="16" width="44.5703125" style="1" bestFit="1" customWidth="1"/>
    <col min="17" max="17" width="16.42578125" style="1"/>
    <col min="18" max="18" width="14.85546875" style="1" bestFit="1" customWidth="1"/>
    <col min="19" max="19" width="10.140625" style="1" bestFit="1" customWidth="1"/>
    <col min="20" max="20" width="97" style="1" bestFit="1" customWidth="1"/>
    <col min="21" max="16384" width="16.42578125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60</v>
      </c>
      <c r="E1" s="1" t="s">
        <v>3</v>
      </c>
      <c r="F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N1" s="1" t="s">
        <v>85</v>
      </c>
      <c r="O1" s="1" t="s">
        <v>86</v>
      </c>
      <c r="P1" s="1" t="s">
        <v>87</v>
      </c>
      <c r="R1" s="1" t="s">
        <v>89</v>
      </c>
      <c r="S1" s="1" t="s">
        <v>90</v>
      </c>
    </row>
    <row r="2" spans="1:20" x14ac:dyDescent="0.25">
      <c r="A2" s="1">
        <v>1001</v>
      </c>
      <c r="B2" s="1" t="s">
        <v>10</v>
      </c>
      <c r="C2" s="1" t="s">
        <v>11</v>
      </c>
      <c r="D2" s="1" t="s">
        <v>61</v>
      </c>
      <c r="E2" s="1">
        <v>30</v>
      </c>
      <c r="F2" s="1" t="s">
        <v>12</v>
      </c>
      <c r="H2" s="1" t="s">
        <v>13</v>
      </c>
      <c r="I2" s="1">
        <v>45000</v>
      </c>
      <c r="J2" s="2" t="s">
        <v>14</v>
      </c>
      <c r="K2" s="2" t="s">
        <v>15</v>
      </c>
      <c r="L2" s="2" t="s">
        <v>16</v>
      </c>
      <c r="M2" s="2"/>
      <c r="N2" s="1" t="s">
        <v>65</v>
      </c>
      <c r="O2" s="1" t="str">
        <f>_xlfn.XLOOKUP(N2,D2:D10,L2:L10)</f>
        <v>Toby.Flenderson@DunderMifflinCorporate.com</v>
      </c>
      <c r="R2" s="1" t="s">
        <v>61</v>
      </c>
      <c r="S2" s="1" t="str">
        <f>VLOOKUP(R2,D2:L10,8,FALSE)</f>
        <v>9/6/2015</v>
      </c>
      <c r="T2" s="1" t="str">
        <f>VLOOKUP(R2,D2:L10,9,FALSE)</f>
        <v>Jim.Halpert@DunderMifflin.com</v>
      </c>
    </row>
    <row r="3" spans="1:20" x14ac:dyDescent="0.25">
      <c r="A3" s="1">
        <v>1002</v>
      </c>
      <c r="B3" s="1" t="s">
        <v>17</v>
      </c>
      <c r="C3" s="1" t="s">
        <v>18</v>
      </c>
      <c r="D3" s="1" t="s">
        <v>62</v>
      </c>
      <c r="E3" s="1">
        <v>30</v>
      </c>
      <c r="F3" s="1" t="s">
        <v>19</v>
      </c>
      <c r="H3" s="1" t="s">
        <v>20</v>
      </c>
      <c r="I3" s="1">
        <v>36000</v>
      </c>
      <c r="J3" s="2" t="s">
        <v>21</v>
      </c>
      <c r="K3" s="2" t="s">
        <v>22</v>
      </c>
      <c r="L3" s="2" t="s">
        <v>23</v>
      </c>
      <c r="M3" s="2"/>
      <c r="O3" s="1" t="str" cm="1">
        <f t="array" ref="O3:P3">_xlfn.XLOOKUP(N2,D2:D10,K2:L10)</f>
        <v>8/30/2017</v>
      </c>
      <c r="P3" s="1" t="str">
        <v>Toby.Flenderson@DunderMifflinCorporate.com</v>
      </c>
      <c r="R3" s="1" t="s">
        <v>68</v>
      </c>
      <c r="S3" s="1" t="str">
        <f t="shared" ref="S3:S4" si="0">VLOOKUP(R3,D3:L11,8,FALSE)</f>
        <v>4/22/2015</v>
      </c>
    </row>
    <row r="4" spans="1:20" x14ac:dyDescent="0.25">
      <c r="A4" s="1">
        <v>1003</v>
      </c>
      <c r="B4" s="1" t="s">
        <v>24</v>
      </c>
      <c r="C4" s="1" t="s">
        <v>25</v>
      </c>
      <c r="D4" s="1" t="s">
        <v>63</v>
      </c>
      <c r="E4" s="1">
        <v>29</v>
      </c>
      <c r="F4" s="1" t="s">
        <v>12</v>
      </c>
      <c r="H4" s="1" t="s">
        <v>13</v>
      </c>
      <c r="I4" s="1">
        <v>63000</v>
      </c>
      <c r="J4" s="2" t="s">
        <v>26</v>
      </c>
      <c r="K4" s="2" t="s">
        <v>27</v>
      </c>
      <c r="L4" s="2" t="s">
        <v>28</v>
      </c>
      <c r="M4" s="2"/>
      <c r="R4" s="1" t="s">
        <v>69</v>
      </c>
      <c r="S4" s="1" t="str">
        <f t="shared" si="0"/>
        <v>4/22/2015</v>
      </c>
    </row>
    <row r="5" spans="1:20" x14ac:dyDescent="0.25">
      <c r="A5" s="1">
        <v>1004</v>
      </c>
      <c r="B5" s="1" t="s">
        <v>29</v>
      </c>
      <c r="C5" s="1" t="s">
        <v>30</v>
      </c>
      <c r="D5" s="1" t="s">
        <v>64</v>
      </c>
      <c r="E5" s="1">
        <v>31</v>
      </c>
      <c r="F5" s="1" t="s">
        <v>19</v>
      </c>
      <c r="H5" s="1" t="s">
        <v>31</v>
      </c>
      <c r="I5" s="1">
        <v>47000</v>
      </c>
      <c r="J5" s="2" t="s">
        <v>32</v>
      </c>
      <c r="K5" s="2" t="s">
        <v>33</v>
      </c>
      <c r="L5" s="2" t="s">
        <v>34</v>
      </c>
      <c r="M5" s="2"/>
      <c r="N5" s="1" t="s">
        <v>88</v>
      </c>
      <c r="O5" s="1" t="str">
        <f>_xlfn.XLOOKUP(N5,D2:D10,L2:L10,"Not Found")</f>
        <v>Not Found</v>
      </c>
    </row>
    <row r="6" spans="1:20" x14ac:dyDescent="0.25">
      <c r="A6" s="1">
        <v>1005</v>
      </c>
      <c r="B6" s="1" t="s">
        <v>35</v>
      </c>
      <c r="C6" s="1" t="s">
        <v>36</v>
      </c>
      <c r="D6" s="1" t="s">
        <v>65</v>
      </c>
      <c r="E6" s="1">
        <v>32</v>
      </c>
      <c r="F6" s="1" t="s">
        <v>12</v>
      </c>
      <c r="H6" s="1" t="s">
        <v>37</v>
      </c>
      <c r="I6" s="1">
        <v>50000</v>
      </c>
      <c r="J6" s="2">
        <v>37017</v>
      </c>
      <c r="K6" s="2" t="s">
        <v>39</v>
      </c>
      <c r="L6" s="2" t="s">
        <v>40</v>
      </c>
      <c r="M6" s="2"/>
      <c r="N6" s="1" t="s">
        <v>42</v>
      </c>
      <c r="O6" s="1" t="str">
        <f>_xlfn.XLOOKUP("*"&amp;N6,D2:D10,L2:L10,"Not founf",2)</f>
        <v>Michael.Scott@DunderMifflin.com</v>
      </c>
      <c r="T6" s="1" t="s">
        <v>91</v>
      </c>
    </row>
    <row r="7" spans="1:20" x14ac:dyDescent="0.25">
      <c r="A7" s="1">
        <v>1006</v>
      </c>
      <c r="B7" s="1" t="s">
        <v>41</v>
      </c>
      <c r="C7" s="1" t="s">
        <v>42</v>
      </c>
      <c r="D7" s="1" t="s">
        <v>66</v>
      </c>
      <c r="E7" s="1">
        <v>35</v>
      </c>
      <c r="F7" s="1" t="s">
        <v>12</v>
      </c>
      <c r="H7" s="1" t="s">
        <v>43</v>
      </c>
      <c r="I7" s="1">
        <v>65000</v>
      </c>
      <c r="J7" s="2" t="s">
        <v>38</v>
      </c>
      <c r="K7" s="2" t="s">
        <v>44</v>
      </c>
      <c r="L7" s="2" t="s">
        <v>45</v>
      </c>
      <c r="M7" s="2"/>
      <c r="N7" s="2">
        <v>36526</v>
      </c>
      <c r="O7" s="1" t="str">
        <f>_xlfn.XLOOKUP(N7,J2:J10,D2:D10,,1)</f>
        <v>Toby Flenderson</v>
      </c>
    </row>
    <row r="8" spans="1:20" x14ac:dyDescent="0.25">
      <c r="A8" s="1">
        <v>1007</v>
      </c>
      <c r="B8" s="1" t="s">
        <v>46</v>
      </c>
      <c r="C8" s="1" t="s">
        <v>47</v>
      </c>
      <c r="D8" s="1" t="s">
        <v>67</v>
      </c>
      <c r="E8" s="1">
        <v>32</v>
      </c>
      <c r="F8" s="1" t="s">
        <v>19</v>
      </c>
      <c r="H8" s="1" t="s">
        <v>48</v>
      </c>
      <c r="I8" s="1">
        <v>41000</v>
      </c>
      <c r="J8" s="2" t="s">
        <v>49</v>
      </c>
      <c r="K8" s="2" t="s">
        <v>44</v>
      </c>
      <c r="L8" s="2" t="s">
        <v>50</v>
      </c>
      <c r="M8" s="2"/>
      <c r="N8" s="2">
        <v>37017</v>
      </c>
      <c r="O8" s="1" t="str">
        <f>_xlfn.XLOOKUP(N8,J2:J10,D2:D10,,,1)</f>
        <v>Toby Flenderson</v>
      </c>
    </row>
    <row r="9" spans="1:20" x14ac:dyDescent="0.25">
      <c r="A9" s="1">
        <v>1008</v>
      </c>
      <c r="B9" s="1" t="s">
        <v>51</v>
      </c>
      <c r="C9" s="1" t="s">
        <v>52</v>
      </c>
      <c r="D9" s="1" t="s">
        <v>68</v>
      </c>
      <c r="E9" s="1">
        <v>38</v>
      </c>
      <c r="F9" s="1" t="s">
        <v>12</v>
      </c>
      <c r="H9" s="1" t="s">
        <v>13</v>
      </c>
      <c r="I9" s="1">
        <v>48000</v>
      </c>
      <c r="J9" s="2" t="s">
        <v>53</v>
      </c>
      <c r="K9" s="2" t="s">
        <v>54</v>
      </c>
      <c r="L9" s="2" t="s">
        <v>55</v>
      </c>
      <c r="M9" s="2"/>
    </row>
    <row r="10" spans="1:20" x14ac:dyDescent="0.25">
      <c r="A10" s="1">
        <v>1009</v>
      </c>
      <c r="B10" s="1" t="s">
        <v>56</v>
      </c>
      <c r="C10" s="1" t="s">
        <v>57</v>
      </c>
      <c r="D10" s="1" t="s">
        <v>69</v>
      </c>
      <c r="E10" s="1">
        <v>31</v>
      </c>
      <c r="F10" s="1" t="s">
        <v>12</v>
      </c>
      <c r="H10" s="1" t="s">
        <v>31</v>
      </c>
      <c r="I10" s="1">
        <v>42000</v>
      </c>
      <c r="J10" s="2" t="s">
        <v>58</v>
      </c>
      <c r="K10" s="2" t="s">
        <v>54</v>
      </c>
      <c r="L10" s="2" t="s">
        <v>59</v>
      </c>
      <c r="M10" s="2"/>
    </row>
    <row r="22" spans="4:4" x14ac:dyDescent="0.25">
      <c r="D22" s="1" t="str">
        <f t="shared" ref="D22:D23" si="1">CONCATENATE(B12," ",C12)</f>
        <v xml:space="preserve"> </v>
      </c>
    </row>
    <row r="23" spans="4:4" x14ac:dyDescent="0.25">
      <c r="D23" s="1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D15" sqref="D15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Md. Jahadi Hasan Joy</cp:lastModifiedBy>
  <dcterms:created xsi:type="dcterms:W3CDTF">2021-12-20T02:45:32Z</dcterms:created>
  <dcterms:modified xsi:type="dcterms:W3CDTF">2026-05-16T09:14:46Z</dcterms:modified>
</cp:coreProperties>
</file>